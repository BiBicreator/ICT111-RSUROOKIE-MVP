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2DFA7F8A-CBD0-4602-8218-C5747790C3A7}" xr6:coauthVersionLast="47" xr6:coauthVersionMax="47" xr10:uidLastSave="{00000000-0000-0000-0000-000000000000}"/>
  <bookViews>
    <workbookView xWindow="-108" yWindow="-108" windowWidth="23256" windowHeight="12456" tabRatio="500" activeTab="1" xr2:uid="{00000000-000D-0000-FFFF-FFFF00000000}"/>
  </bookViews>
  <sheets>
    <sheet name="Analytics Dashboard" sheetId="1" r:id="rId1"/>
    <sheet name="Raw Valadition Data" sheetId="2" r:id="rId2"/>
  </sheets>
  <definedNames>
    <definedName name="_xlnm._FilterDatabase" localSheetId="1" hidden="1">'Raw Valadition Data'!$A$1:$L$13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1" l="1"/>
  <c r="E10" i="1"/>
  <c r="E9" i="1"/>
  <c r="B9" i="1"/>
  <c r="E8" i="1"/>
  <c r="B8" i="1"/>
  <c r="E7" i="1"/>
  <c r="B7" i="1"/>
  <c r="E6" i="1"/>
  <c r="E5" i="1"/>
  <c r="B5" i="1"/>
  <c r="B6" i="1" s="1"/>
  <c r="E4" i="1"/>
  <c r="B4" i="1"/>
</calcChain>
</file>

<file path=xl/sharedStrings.xml><?xml version="1.0" encoding="utf-8"?>
<sst xmlns="http://schemas.openxmlformats.org/spreadsheetml/2006/main" count="163" uniqueCount="118">
  <si>
    <t>Campus Building AI Assistant - Usability Test Analytics Dashboard</t>
  </si>
  <si>
    <t>Metric</t>
  </si>
  <si>
    <t>Formula / Value</t>
  </si>
  <si>
    <t>Confusion Category</t>
  </si>
  <si>
    <t>Count</t>
  </si>
  <si>
    <t>Interpretation</t>
  </si>
  <si>
    <t>Total test users</t>
  </si>
  <si>
    <t>No confusion</t>
  </si>
  <si>
    <t>The workflow was easy to follow for most tasks.</t>
  </si>
  <si>
    <t>Completed tasks</t>
  </si>
  <si>
    <t>Search function</t>
  </si>
  <si>
    <t>Search matching needs improvement (e.g. abbreviations).</t>
  </si>
  <si>
    <t>Task success rate</t>
  </si>
  <si>
    <t>Chatbot response</t>
  </si>
  <si>
    <t>Chatbot needs a broader keyword set for accuracy.</t>
  </si>
  <si>
    <t>Average feedback score</t>
  </si>
  <si>
    <t>Image recognition</t>
  </si>
  <si>
    <t>AI recognition accuracy drops with poor image quality.</t>
  </si>
  <si>
    <t>Average interest level</t>
  </si>
  <si>
    <t>Search keywords</t>
  </si>
  <si>
    <t>Keyword coverage for student services should expand.</t>
  </si>
  <si>
    <t>Users with confusion points</t>
  </si>
  <si>
    <t>Floor plan layout</t>
  </si>
  <si>
    <t>Floor plan display needs clearer visual layout.</t>
  </si>
  <si>
    <t>Evidence-based decision</t>
  </si>
  <si>
    <t>Validated / Continue</t>
  </si>
  <si>
    <t>Admin interface</t>
  </si>
  <si>
    <t>Admin update screen layout could be simplified.</t>
  </si>
  <si>
    <t>Input form</t>
  </si>
  <si>
    <t>Building input form works but could be streamlined.</t>
  </si>
  <si>
    <t>Question</t>
  </si>
  <si>
    <t>Team Answer / Evidence</t>
  </si>
  <si>
    <t>Which main task had the lowest completion?</t>
  </si>
  <si>
    <t>Which screen or feature confused users most?</t>
  </si>
  <si>
    <t>Which requirement needs improvement before implementation?</t>
  </si>
  <si>
    <t>Which MVP feature should be kept as must-have?</t>
  </si>
  <si>
    <t>Decision: continue, revise, or pivot? Explain.</t>
  </si>
  <si>
    <t>Test_User_ID</t>
  </si>
  <si>
    <t>User_Role</t>
  </si>
  <si>
    <t>Prototype_Version</t>
  </si>
  <si>
    <t>Main_Task</t>
  </si>
  <si>
    <t>Task_Completed</t>
  </si>
  <si>
    <t>Time_Seconds</t>
  </si>
  <si>
    <t>Confusion_Point</t>
  </si>
  <si>
    <t>Feature_Most_Useful</t>
  </si>
  <si>
    <t>Feedback_Score_1_5</t>
  </si>
  <si>
    <t>Interest_Level_1_5</t>
  </si>
  <si>
    <t>Comment</t>
  </si>
  <si>
    <t>Requirement_Affected</t>
  </si>
  <si>
    <t>TU-01</t>
  </si>
  <si>
    <t>Student</t>
  </si>
  <si>
    <t>v0.1</t>
  </si>
  <si>
    <t>Upload building image</t>
  </si>
  <si>
    <t>Yes</t>
  </si>
  <si>
    <t>AI Building Recognition</t>
  </si>
  <si>
    <t>The AI recognized the building quickly and correctly.</t>
  </si>
  <si>
    <t>FR-02, FR-03, FR-11</t>
  </si>
  <si>
    <t>TU-02</t>
  </si>
  <si>
    <t>Search for a building</t>
  </si>
  <si>
    <t>Building Search</t>
  </si>
  <si>
    <t>Search works well but abbreviations should also be supported.</t>
  </si>
  <si>
    <t>FR-06, FR-07</t>
  </si>
  <si>
    <t>TU-03</t>
  </si>
  <si>
    <t>Ask chatbot about campus services</t>
  </si>
  <si>
    <t>Campus Chatbot</t>
  </si>
  <si>
    <t>The chatbot answered most questions clearly but needs more keywords.</t>
  </si>
  <si>
    <t>FR-03</t>
  </si>
  <si>
    <t>TU-04</t>
  </si>
  <si>
    <t>View building information</t>
  </si>
  <si>
    <t>Building Information Page</t>
  </si>
  <si>
    <t>The building information is clear and easy to understand.</t>
  </si>
  <si>
    <t>FR-05, FR-07</t>
  </si>
  <si>
    <t>TU-05</t>
  </si>
  <si>
    <t>No</t>
  </si>
  <si>
    <t>AI Recognition</t>
  </si>
  <si>
    <t>The building was not recognized because the image quality was poor.</t>
  </si>
  <si>
    <t>FR-02, FR-08</t>
  </si>
  <si>
    <t>TU-06</t>
  </si>
  <si>
    <t>International Student</t>
  </si>
  <si>
    <t>Search for student services</t>
  </si>
  <si>
    <t>Search Feature</t>
  </si>
  <si>
    <t>Searching helped me find campus services much faster.</t>
  </si>
  <si>
    <t>FR-05, FR-06</t>
  </si>
  <si>
    <t>TU-07</t>
  </si>
  <si>
    <t>View floor plan and facilities</t>
  </si>
  <si>
    <t>Building Details</t>
  </si>
  <si>
    <t>The floor plan is useful but could be displayed more clearly.</t>
  </si>
  <si>
    <t>FR-07</t>
  </si>
  <si>
    <t>TU-08</t>
  </si>
  <si>
    <t>Ask chatbot for building location</t>
  </si>
  <si>
    <t>Chatbot</t>
  </si>
  <si>
    <t>The chatbot provided the correct building location quickly.</t>
  </si>
  <si>
    <t>TU-09</t>
  </si>
  <si>
    <t>Admin</t>
  </si>
  <si>
    <t>Update building information</t>
  </si>
  <si>
    <t>Admin Management</t>
  </si>
  <si>
    <t>Updating building information was easy but the layout could be improved.</t>
  </si>
  <si>
    <t>FR-09</t>
  </si>
  <si>
    <t>TU-10</t>
  </si>
  <si>
    <t>Add a new building record</t>
  </si>
  <si>
    <t>Building Management</t>
  </si>
  <si>
    <t>Adding new building information worked correctly.</t>
  </si>
  <si>
    <t>TU-11</t>
  </si>
  <si>
    <t>Upload invalid image</t>
  </si>
  <si>
    <t>Validation Message</t>
  </si>
  <si>
    <t>The system clearly explained why the uploaded image could not be processed.</t>
  </si>
  <si>
    <t>FR-10, FR-11</t>
  </si>
  <si>
    <t>TU-12</t>
  </si>
  <si>
    <t>Browse campus buildings</t>
  </si>
  <si>
    <t>Campus Information List</t>
  </si>
  <si>
    <t>The list of campus buildings is helpful for new students.</t>
  </si>
  <si>
    <t>FR-05, FR-12</t>
  </si>
  <si>
    <t>Team Interpretation Checklist</t>
  </si>
  <si>
    <t>"Upload building image"  it's the only task attempted twice (TU-01 succeeded, TU-05 failed), giving it a 50% completion rate vs. 100% for every other task. The failure was due to poor image quality, tying it directly to FR-02/FR-08.</t>
  </si>
  <si>
    <t>FR-02 (AI Building Recognition) and FR-08 (image validation/quality handling)same reasoning as above. The recognition engine needs better handling of low-quality images before this can ship reliably.</t>
  </si>
  <si>
    <t>No single confusion category repeats (each has a count of 1), so by frequency nothing stands out. But by severity, the AI Building Recognition feature is the most concerning  it's the only confusion point tied to an actual task failure, and it also has the lowest feedback score (3/5) in the dataset.</t>
  </si>
  <si>
    <t>Campus Chatbot (FR-03) it appears in two separate tasks (TU-03, TU-08), both completed successfully with strong scores (4–5), showing it's reliable across different use cases. Building Information Page (FR-05/07) is a close second, also scoring 5/5 consistently.</t>
  </si>
  <si>
    <t>Continue, with targeted revision. 91.7% success rate, 4.33 avg feedback, 4.58 avg interest  strong overall signal. The one failure is an isolated, fixable issue (image quality handling), not a fundamental flaw in the 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</si>
</sst>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charset val="1"/>
    </font>
    <font>
      <b/>
      <sz val="16"/>
      <color rgb="FFFFFFFF"/>
      <name val="Arial"/>
      <charset val="1"/>
    </font>
    <font>
      <b/>
      <sz val="11"/>
      <color rgb="FFFFFFFF"/>
      <name val="Arial"/>
      <charset val="1"/>
    </font>
    <font>
      <b/>
      <sz val="10"/>
      <name val="Arial"/>
      <charset val="1"/>
    </font>
    <font>
      <sz val="10"/>
      <name val="Arial"/>
      <charset val="1"/>
    </font>
  </fonts>
  <fills count="6">
    <fill>
      <patternFill patternType="none"/>
    </fill>
    <fill>
      <patternFill patternType="gray125"/>
    </fill>
    <fill>
      <patternFill patternType="solid">
        <fgColor rgb="FF1F7A54"/>
        <bgColor rgb="FF008080"/>
      </patternFill>
    </fill>
    <fill>
      <patternFill patternType="solid">
        <fgColor rgb="FF323232"/>
        <bgColor rgb="FF333300"/>
      </patternFill>
    </fill>
    <fill>
      <patternFill patternType="solid">
        <fgColor rgb="FFE8930A"/>
        <bgColor rgb="FFFF6600"/>
      </patternFill>
    </fill>
    <fill>
      <patternFill patternType="solid">
        <fgColor rgb="FF305496"/>
        <bgColor rgb="FF0066CC"/>
      </patternFill>
    </fill>
  </fills>
  <borders count="3">
    <border>
      <left/>
      <right/>
      <top/>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1">
    <xf numFmtId="0" fontId="0" fillId="0" borderId="0" xfId="0"/>
    <xf numFmtId="0" fontId="4" fillId="0" borderId="1" xfId="0" applyFont="1" applyBorder="1" applyAlignment="1">
      <alignment horizontal="left" vertical="center" wrapText="1"/>
    </xf>
    <xf numFmtId="0" fontId="2"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164" fontId="4" fillId="0" borderId="2" xfId="0" applyNumberFormat="1" applyFont="1" applyBorder="1" applyAlignment="1">
      <alignment horizontal="center" vertical="center" wrapText="1"/>
    </xf>
    <xf numFmtId="2" fontId="4" fillId="0" borderId="2" xfId="0" applyNumberFormat="1" applyFont="1" applyBorder="1" applyAlignment="1">
      <alignment horizontal="center" vertical="center" wrapText="1"/>
    </xf>
    <xf numFmtId="0" fontId="2" fillId="5"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54"/>
      <rgbColor rgb="FFB7B7B7"/>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930A"/>
      <rgbColor rgb="FFFF6600"/>
      <rgbColor rgb="FF4F81BD"/>
      <rgbColor rgb="FF969696"/>
      <rgbColor rgb="FF003366"/>
      <rgbColor rgb="FF339966"/>
      <rgbColor rgb="FF003300"/>
      <rgbColor rgb="FF333300"/>
      <rgbColor rgb="FF993300"/>
      <rgbColor rgb="FF993366"/>
      <rgbColor rgb="FF305496"/>
      <rgbColor rgb="FF3232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Confusion Points by Category</a:t>
            </a:r>
          </a:p>
        </c:rich>
      </c:tx>
      <c:overlay val="0"/>
      <c:spPr>
        <a:noFill/>
        <a:ln w="0">
          <a:noFill/>
        </a:ln>
      </c:spPr>
    </c:title>
    <c:autoTitleDeleted val="0"/>
    <c:plotArea>
      <c:layout/>
      <c:barChart>
        <c:barDir val="col"/>
        <c:grouping val="clustered"/>
        <c:varyColors val="0"/>
        <c:ser>
          <c:idx val="0"/>
          <c:order val="0"/>
          <c:tx>
            <c:strRef>
              <c:f>'Analytics Dashboard'!$E$3</c:f>
              <c:strCache>
                <c:ptCount val="1"/>
                <c:pt idx="0">
                  <c:v>Count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'Analytics Dashboard'!$D$4:$D$11</c:f>
              <c:strCache>
                <c:ptCount val="8"/>
                <c:pt idx="0">
                  <c:v>No confusion</c:v>
                </c:pt>
                <c:pt idx="1">
                  <c:v>Search function</c:v>
                </c:pt>
                <c:pt idx="2">
                  <c:v>Chatbot response</c:v>
                </c:pt>
                <c:pt idx="3">
                  <c:v>Image recognition</c:v>
                </c:pt>
                <c:pt idx="4">
                  <c:v>Search keywords</c:v>
                </c:pt>
                <c:pt idx="5">
                  <c:v>Floor plan layout</c:v>
                </c:pt>
                <c:pt idx="6">
                  <c:v>Admin interface</c:v>
                </c:pt>
                <c:pt idx="7">
                  <c:v>Input form</c:v>
                </c:pt>
              </c:strCache>
            </c:strRef>
          </c:cat>
          <c:val>
            <c:numRef>
              <c:f>'Analytics Dashboard'!$E$4:$E$11</c:f>
              <c:numCache>
                <c:formatCode>General</c:formatCode>
                <c:ptCount val="8"/>
                <c:pt idx="0">
                  <c:v>5</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352F-4F8D-ACD2-09B77F2B79FF}"/>
            </c:ext>
          </c:extLst>
        </c:ser>
        <c:dLbls>
          <c:showLegendKey val="0"/>
          <c:showVal val="0"/>
          <c:showCatName val="0"/>
          <c:showSerName val="0"/>
          <c:showPercent val="0"/>
          <c:showBubbleSize val="0"/>
        </c:dLbls>
        <c:gapWidth val="150"/>
        <c:axId val="7409112"/>
        <c:axId val="86147109"/>
      </c:barChart>
      <c:catAx>
        <c:axId val="74091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147109"/>
        <c:crosses val="autoZero"/>
        <c:auto val="1"/>
        <c:lblAlgn val="ctr"/>
        <c:lblOffset val="100"/>
        <c:noMultiLvlLbl val="0"/>
      </c:catAx>
      <c:valAx>
        <c:axId val="8614710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0911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11</xdr:row>
      <xdr:rowOff>39960</xdr:rowOff>
    </xdr:from>
    <xdr:to>
      <xdr:col>7</xdr:col>
      <xdr:colOff>354960</xdr:colOff>
      <xdr:row>21</xdr:row>
      <xdr:rowOff>127800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showGridLines="0" zoomScaleNormal="100" workbookViewId="0">
      <selection activeCell="C22" sqref="C22"/>
    </sheetView>
  </sheetViews>
  <sheetFormatPr defaultColWidth="8.6640625" defaultRowHeight="14.4" x14ac:dyDescent="0.3"/>
  <cols>
    <col min="1" max="1" width="28" customWidth="1"/>
    <col min="2" max="2" width="20" customWidth="1"/>
    <col min="3" max="3" width="58.5546875" customWidth="1"/>
    <col min="4" max="4" width="20" customWidth="1"/>
    <col min="5" max="5" width="10" customWidth="1"/>
    <col min="6" max="6" width="38" customWidth="1"/>
  </cols>
  <sheetData>
    <row r="1" spans="1:6" ht="27.75" customHeight="1" x14ac:dyDescent="0.3">
      <c r="A1" s="3" t="s">
        <v>0</v>
      </c>
      <c r="B1" s="3"/>
      <c r="C1" s="3"/>
      <c r="D1" s="3"/>
      <c r="E1" s="3"/>
      <c r="F1" s="3"/>
    </row>
    <row r="3" spans="1:6" ht="27.6" x14ac:dyDescent="0.3">
      <c r="A3" s="4" t="s">
        <v>1</v>
      </c>
      <c r="B3" s="4" t="s">
        <v>2</v>
      </c>
      <c r="D3" s="4" t="s">
        <v>3</v>
      </c>
      <c r="E3" s="4" t="s">
        <v>4</v>
      </c>
      <c r="F3" s="4" t="s">
        <v>5</v>
      </c>
    </row>
    <row r="4" spans="1:6" ht="30" customHeight="1" x14ac:dyDescent="0.3">
      <c r="A4" s="5" t="s">
        <v>6</v>
      </c>
      <c r="B4" s="6">
        <f>COUNTA('Raw Valadition Data'!A2:A13)</f>
        <v>12</v>
      </c>
      <c r="D4" s="7" t="s">
        <v>7</v>
      </c>
      <c r="E4" s="6">
        <f>COUNTIF('Raw Valadition Data'!$G$2:$G$13,D4)</f>
        <v>5</v>
      </c>
      <c r="F4" s="7" t="s">
        <v>8</v>
      </c>
    </row>
    <row r="5" spans="1:6" ht="30" customHeight="1" x14ac:dyDescent="0.3">
      <c r="A5" s="5" t="s">
        <v>9</v>
      </c>
      <c r="B5" s="6">
        <f>COUNTIF('Raw Valadition Data'!E2:E13,"Yes")</f>
        <v>11</v>
      </c>
      <c r="D5" s="7" t="s">
        <v>10</v>
      </c>
      <c r="E5" s="6">
        <f>COUNTIF('Raw Valadition Data'!$G$2:$G$13,D5)</f>
        <v>1</v>
      </c>
      <c r="F5" s="7" t="s">
        <v>11</v>
      </c>
    </row>
    <row r="6" spans="1:6" ht="30" customHeight="1" x14ac:dyDescent="0.3">
      <c r="A6" s="5" t="s">
        <v>12</v>
      </c>
      <c r="B6" s="8">
        <f>B5/B4</f>
        <v>0.91666666666666663</v>
      </c>
      <c r="D6" s="7" t="s">
        <v>13</v>
      </c>
      <c r="E6" s="6">
        <f>COUNTIF('Raw Valadition Data'!$G$2:$G$13,D6)</f>
        <v>1</v>
      </c>
      <c r="F6" s="7" t="s">
        <v>14</v>
      </c>
    </row>
    <row r="7" spans="1:6" ht="30" customHeight="1" x14ac:dyDescent="0.3">
      <c r="A7" s="5" t="s">
        <v>15</v>
      </c>
      <c r="B7" s="9">
        <f>AVERAGE('Raw Valadition Data'!I2:I13)</f>
        <v>4.333333333333333</v>
      </c>
      <c r="D7" s="7" t="s">
        <v>16</v>
      </c>
      <c r="E7" s="6">
        <f>COUNTIF('Raw Valadition Data'!$G$2:$G$13,D7)</f>
        <v>1</v>
      </c>
      <c r="F7" s="7" t="s">
        <v>17</v>
      </c>
    </row>
    <row r="8" spans="1:6" ht="30" customHeight="1" x14ac:dyDescent="0.3">
      <c r="A8" s="5" t="s">
        <v>18</v>
      </c>
      <c r="B8" s="9">
        <f>AVERAGE('Raw Valadition Data'!J2:J13)</f>
        <v>4.583333333333333</v>
      </c>
      <c r="D8" s="7" t="s">
        <v>19</v>
      </c>
      <c r="E8" s="6">
        <f>COUNTIF('Raw Valadition Data'!$G$2:$G$13,D8)</f>
        <v>1</v>
      </c>
      <c r="F8" s="7" t="s">
        <v>20</v>
      </c>
    </row>
    <row r="9" spans="1:6" ht="30" customHeight="1" x14ac:dyDescent="0.3">
      <c r="A9" s="5" t="s">
        <v>21</v>
      </c>
      <c r="B9" s="6">
        <f>COUNTIF('Raw Valadition Data'!G2:G13,"&lt;&gt;No confusion")</f>
        <v>7</v>
      </c>
      <c r="D9" s="7" t="s">
        <v>22</v>
      </c>
      <c r="E9" s="6">
        <f>COUNTIF('Raw Valadition Data'!$G$2:$G$13,D9)</f>
        <v>1</v>
      </c>
      <c r="F9" s="7" t="s">
        <v>23</v>
      </c>
    </row>
    <row r="10" spans="1:6" ht="30" customHeight="1" x14ac:dyDescent="0.3">
      <c r="A10" s="5" t="s">
        <v>24</v>
      </c>
      <c r="B10" s="6" t="s">
        <v>25</v>
      </c>
      <c r="D10" s="7" t="s">
        <v>26</v>
      </c>
      <c r="E10" s="6">
        <f>COUNTIF('Raw Valadition Data'!$G$2:$G$13,D10)</f>
        <v>1</v>
      </c>
      <c r="F10" s="7" t="s">
        <v>27</v>
      </c>
    </row>
    <row r="11" spans="1:6" ht="30" customHeight="1" x14ac:dyDescent="0.3">
      <c r="D11" s="7" t="s">
        <v>28</v>
      </c>
      <c r="E11" s="6">
        <f>COUNTIF('Raw Valadition Data'!$G$2:$G$13,D11)</f>
        <v>1</v>
      </c>
      <c r="F11" s="7" t="s">
        <v>29</v>
      </c>
    </row>
    <row r="13" spans="1:6" ht="21.75" customHeight="1" x14ac:dyDescent="0.3">
      <c r="A13" s="2" t="s">
        <v>112</v>
      </c>
      <c r="B13" s="2"/>
      <c r="C13" s="2"/>
      <c r="D13" s="2"/>
      <c r="E13" s="2"/>
      <c r="F13" s="2"/>
    </row>
    <row r="14" spans="1:6" ht="27.6" x14ac:dyDescent="0.3">
      <c r="A14" s="4" t="s">
        <v>30</v>
      </c>
      <c r="B14" s="4" t="s">
        <v>31</v>
      </c>
      <c r="C14" s="4"/>
      <c r="D14" s="4"/>
      <c r="E14" s="4"/>
      <c r="F14" s="4"/>
    </row>
    <row r="15" spans="1:6" ht="33.75" customHeight="1" x14ac:dyDescent="0.3">
      <c r="A15" s="7" t="s">
        <v>32</v>
      </c>
      <c r="B15" s="1" t="s">
        <v>113</v>
      </c>
      <c r="C15" s="1"/>
      <c r="D15" s="1"/>
      <c r="E15" s="1"/>
      <c r="F15" s="1"/>
    </row>
    <row r="16" spans="1:6" ht="33.75" customHeight="1" x14ac:dyDescent="0.3">
      <c r="A16" s="7" t="s">
        <v>33</v>
      </c>
      <c r="B16" s="1" t="s">
        <v>115</v>
      </c>
      <c r="C16" s="1"/>
      <c r="D16" s="1"/>
      <c r="E16" s="1"/>
      <c r="F16" s="1"/>
    </row>
    <row r="17" spans="1:6" ht="33.75" customHeight="1" x14ac:dyDescent="0.3">
      <c r="A17" s="7" t="s">
        <v>34</v>
      </c>
      <c r="B17" s="1" t="s">
        <v>114</v>
      </c>
      <c r="C17" s="1"/>
      <c r="D17" s="1"/>
      <c r="E17" s="1"/>
      <c r="F17" s="1"/>
    </row>
    <row r="18" spans="1:6" ht="33.75" customHeight="1" x14ac:dyDescent="0.3">
      <c r="A18" s="7" t="s">
        <v>35</v>
      </c>
      <c r="B18" s="1" t="s">
        <v>116</v>
      </c>
      <c r="C18" s="1"/>
      <c r="D18" s="1"/>
      <c r="E18" s="1"/>
      <c r="F18" s="1"/>
    </row>
    <row r="19" spans="1:6" ht="33.75" customHeight="1" x14ac:dyDescent="0.3">
      <c r="A19" s="7" t="s">
        <v>36</v>
      </c>
      <c r="B19" s="1" t="s">
        <v>117</v>
      </c>
      <c r="C19" s="1"/>
      <c r="D19" s="1"/>
      <c r="E19" s="1"/>
      <c r="F19" s="1"/>
    </row>
  </sheetData>
  <mergeCells count="7">
    <mergeCell ref="B18:F18"/>
    <mergeCell ref="B19:F19"/>
    <mergeCell ref="A1:F1"/>
    <mergeCell ref="A13:F13"/>
    <mergeCell ref="B15:F15"/>
    <mergeCell ref="B16:F16"/>
    <mergeCell ref="B17:F1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tabSelected="1" zoomScaleNormal="100" workbookViewId="0">
      <pane ySplit="1" topLeftCell="A2" activePane="bottomLeft" state="frozen"/>
      <selection pane="bottomLeft"/>
    </sheetView>
  </sheetViews>
  <sheetFormatPr defaultColWidth="8.6640625" defaultRowHeight="14.4" x14ac:dyDescent="0.3"/>
  <cols>
    <col min="1" max="1" width="10" customWidth="1"/>
    <col min="2" max="2" width="18" customWidth="1"/>
    <col min="3" max="3" width="15" customWidth="1"/>
    <col min="4" max="4" width="30" customWidth="1"/>
    <col min="5" max="5" width="14" customWidth="1"/>
    <col min="6" max="6" width="12" customWidth="1"/>
    <col min="7" max="7" width="16" customWidth="1"/>
    <col min="8" max="8" width="24" customWidth="1"/>
    <col min="9" max="10" width="14" customWidth="1"/>
    <col min="11" max="11" width="45" customWidth="1"/>
    <col min="12" max="12" width="20" customWidth="1"/>
  </cols>
  <sheetData>
    <row r="1" spans="1:12" ht="21.75" customHeight="1" x14ac:dyDescent="0.3">
      <c r="A1" s="10" t="s">
        <v>37</v>
      </c>
      <c r="B1" s="10" t="s">
        <v>38</v>
      </c>
      <c r="C1" s="10" t="s">
        <v>39</v>
      </c>
      <c r="D1" s="10" t="s">
        <v>40</v>
      </c>
      <c r="E1" s="10" t="s">
        <v>41</v>
      </c>
      <c r="F1" s="10" t="s">
        <v>42</v>
      </c>
      <c r="G1" s="10" t="s">
        <v>43</v>
      </c>
      <c r="H1" s="10" t="s">
        <v>44</v>
      </c>
      <c r="I1" s="10" t="s">
        <v>45</v>
      </c>
      <c r="J1" s="10" t="s">
        <v>46</v>
      </c>
      <c r="K1" s="10" t="s">
        <v>47</v>
      </c>
      <c r="L1" s="10" t="s">
        <v>48</v>
      </c>
    </row>
    <row r="2" spans="1:12" ht="27.75" customHeight="1" x14ac:dyDescent="0.3">
      <c r="A2" s="6" t="s">
        <v>49</v>
      </c>
      <c r="B2" s="6" t="s">
        <v>50</v>
      </c>
      <c r="C2" s="6" t="s">
        <v>51</v>
      </c>
      <c r="D2" s="6" t="s">
        <v>52</v>
      </c>
      <c r="E2" s="6" t="s">
        <v>53</v>
      </c>
      <c r="F2" s="6">
        <v>105</v>
      </c>
      <c r="G2" s="6" t="s">
        <v>7</v>
      </c>
      <c r="H2" s="6" t="s">
        <v>54</v>
      </c>
      <c r="I2" s="6">
        <v>5</v>
      </c>
      <c r="J2" s="6">
        <v>5</v>
      </c>
      <c r="K2" s="7" t="s">
        <v>55</v>
      </c>
      <c r="L2" s="7" t="s">
        <v>56</v>
      </c>
    </row>
    <row r="3" spans="1:12" ht="27.75" customHeight="1" x14ac:dyDescent="0.3">
      <c r="A3" s="6" t="s">
        <v>57</v>
      </c>
      <c r="B3" s="6" t="s">
        <v>50</v>
      </c>
      <c r="C3" s="6" t="s">
        <v>51</v>
      </c>
      <c r="D3" s="6" t="s">
        <v>58</v>
      </c>
      <c r="E3" s="6" t="s">
        <v>53</v>
      </c>
      <c r="F3" s="6">
        <v>92</v>
      </c>
      <c r="G3" s="6" t="s">
        <v>10</v>
      </c>
      <c r="H3" s="6" t="s">
        <v>59</v>
      </c>
      <c r="I3" s="6">
        <v>4</v>
      </c>
      <c r="J3" s="6">
        <v>4</v>
      </c>
      <c r="K3" s="7" t="s">
        <v>60</v>
      </c>
      <c r="L3" s="7" t="s">
        <v>61</v>
      </c>
    </row>
    <row r="4" spans="1:12" ht="27.75" customHeight="1" x14ac:dyDescent="0.3">
      <c r="A4" s="6" t="s">
        <v>62</v>
      </c>
      <c r="B4" s="6" t="s">
        <v>50</v>
      </c>
      <c r="C4" s="6" t="s">
        <v>51</v>
      </c>
      <c r="D4" s="6" t="s">
        <v>63</v>
      </c>
      <c r="E4" s="6" t="s">
        <v>53</v>
      </c>
      <c r="F4" s="6">
        <v>115</v>
      </c>
      <c r="G4" s="6" t="s">
        <v>13</v>
      </c>
      <c r="H4" s="6" t="s">
        <v>64</v>
      </c>
      <c r="I4" s="6">
        <v>4</v>
      </c>
      <c r="J4" s="6">
        <v>5</v>
      </c>
      <c r="K4" s="7" t="s">
        <v>65</v>
      </c>
      <c r="L4" s="7" t="s">
        <v>66</v>
      </c>
    </row>
    <row r="5" spans="1:12" ht="27.75" customHeight="1" x14ac:dyDescent="0.3">
      <c r="A5" s="6" t="s">
        <v>67</v>
      </c>
      <c r="B5" s="6" t="s">
        <v>50</v>
      </c>
      <c r="C5" s="6" t="s">
        <v>51</v>
      </c>
      <c r="D5" s="6" t="s">
        <v>68</v>
      </c>
      <c r="E5" s="6" t="s">
        <v>53</v>
      </c>
      <c r="F5" s="6">
        <v>85</v>
      </c>
      <c r="G5" s="6" t="s">
        <v>7</v>
      </c>
      <c r="H5" s="6" t="s">
        <v>69</v>
      </c>
      <c r="I5" s="6">
        <v>5</v>
      </c>
      <c r="J5" s="6">
        <v>5</v>
      </c>
      <c r="K5" s="7" t="s">
        <v>70</v>
      </c>
      <c r="L5" s="7" t="s">
        <v>71</v>
      </c>
    </row>
    <row r="6" spans="1:12" ht="27.75" customHeight="1" x14ac:dyDescent="0.3">
      <c r="A6" s="6" t="s">
        <v>72</v>
      </c>
      <c r="B6" s="6" t="s">
        <v>50</v>
      </c>
      <c r="C6" s="6" t="s">
        <v>51</v>
      </c>
      <c r="D6" s="6" t="s">
        <v>52</v>
      </c>
      <c r="E6" s="6" t="s">
        <v>73</v>
      </c>
      <c r="F6" s="6">
        <v>138</v>
      </c>
      <c r="G6" s="6" t="s">
        <v>16</v>
      </c>
      <c r="H6" s="6" t="s">
        <v>74</v>
      </c>
      <c r="I6" s="6">
        <v>3</v>
      </c>
      <c r="J6" s="6">
        <v>4</v>
      </c>
      <c r="K6" s="7" t="s">
        <v>75</v>
      </c>
      <c r="L6" s="7" t="s">
        <v>76</v>
      </c>
    </row>
    <row r="7" spans="1:12" ht="27.75" customHeight="1" x14ac:dyDescent="0.3">
      <c r="A7" s="6" t="s">
        <v>77</v>
      </c>
      <c r="B7" s="6" t="s">
        <v>78</v>
      </c>
      <c r="C7" s="6" t="s">
        <v>51</v>
      </c>
      <c r="D7" s="6" t="s">
        <v>79</v>
      </c>
      <c r="E7" s="6" t="s">
        <v>53</v>
      </c>
      <c r="F7" s="6">
        <v>98</v>
      </c>
      <c r="G7" s="6" t="s">
        <v>19</v>
      </c>
      <c r="H7" s="6" t="s">
        <v>80</v>
      </c>
      <c r="I7" s="6">
        <v>4</v>
      </c>
      <c r="J7" s="6">
        <v>5</v>
      </c>
      <c r="K7" s="7" t="s">
        <v>81</v>
      </c>
      <c r="L7" s="7" t="s">
        <v>82</v>
      </c>
    </row>
    <row r="8" spans="1:12" ht="27.75" customHeight="1" x14ac:dyDescent="0.3">
      <c r="A8" s="6" t="s">
        <v>83</v>
      </c>
      <c r="B8" s="6" t="s">
        <v>50</v>
      </c>
      <c r="C8" s="6" t="s">
        <v>51</v>
      </c>
      <c r="D8" s="6" t="s">
        <v>84</v>
      </c>
      <c r="E8" s="6" t="s">
        <v>53</v>
      </c>
      <c r="F8" s="6">
        <v>102</v>
      </c>
      <c r="G8" s="6" t="s">
        <v>22</v>
      </c>
      <c r="H8" s="6" t="s">
        <v>85</v>
      </c>
      <c r="I8" s="6">
        <v>4</v>
      </c>
      <c r="J8" s="6">
        <v>4</v>
      </c>
      <c r="K8" s="7" t="s">
        <v>86</v>
      </c>
      <c r="L8" s="7" t="s">
        <v>87</v>
      </c>
    </row>
    <row r="9" spans="1:12" ht="27.75" customHeight="1" x14ac:dyDescent="0.3">
      <c r="A9" s="6" t="s">
        <v>88</v>
      </c>
      <c r="B9" s="6" t="s">
        <v>50</v>
      </c>
      <c r="C9" s="6" t="s">
        <v>51</v>
      </c>
      <c r="D9" s="6" t="s">
        <v>89</v>
      </c>
      <c r="E9" s="6" t="s">
        <v>53</v>
      </c>
      <c r="F9" s="6">
        <v>90</v>
      </c>
      <c r="G9" s="6" t="s">
        <v>7</v>
      </c>
      <c r="H9" s="6" t="s">
        <v>90</v>
      </c>
      <c r="I9" s="6">
        <v>5</v>
      </c>
      <c r="J9" s="6">
        <v>5</v>
      </c>
      <c r="K9" s="7" t="s">
        <v>91</v>
      </c>
      <c r="L9" s="7" t="s">
        <v>66</v>
      </c>
    </row>
    <row r="10" spans="1:12" ht="27.75" customHeight="1" x14ac:dyDescent="0.3">
      <c r="A10" s="6" t="s">
        <v>92</v>
      </c>
      <c r="B10" s="6" t="s">
        <v>93</v>
      </c>
      <c r="C10" s="6" t="s">
        <v>51</v>
      </c>
      <c r="D10" s="6" t="s">
        <v>94</v>
      </c>
      <c r="E10" s="6" t="s">
        <v>53</v>
      </c>
      <c r="F10" s="6">
        <v>145</v>
      </c>
      <c r="G10" s="6" t="s">
        <v>26</v>
      </c>
      <c r="H10" s="6" t="s">
        <v>95</v>
      </c>
      <c r="I10" s="6">
        <v>4</v>
      </c>
      <c r="J10" s="6">
        <v>4</v>
      </c>
      <c r="K10" s="7" t="s">
        <v>96</v>
      </c>
      <c r="L10" s="7" t="s">
        <v>97</v>
      </c>
    </row>
    <row r="11" spans="1:12" ht="27.75" customHeight="1" x14ac:dyDescent="0.3">
      <c r="A11" s="6" t="s">
        <v>98</v>
      </c>
      <c r="B11" s="6" t="s">
        <v>93</v>
      </c>
      <c r="C11" s="6" t="s">
        <v>51</v>
      </c>
      <c r="D11" s="6" t="s">
        <v>99</v>
      </c>
      <c r="E11" s="6" t="s">
        <v>53</v>
      </c>
      <c r="F11" s="6">
        <v>158</v>
      </c>
      <c r="G11" s="6" t="s">
        <v>28</v>
      </c>
      <c r="H11" s="6" t="s">
        <v>100</v>
      </c>
      <c r="I11" s="6">
        <v>4</v>
      </c>
      <c r="J11" s="6">
        <v>4</v>
      </c>
      <c r="K11" s="7" t="s">
        <v>101</v>
      </c>
      <c r="L11" s="7" t="s">
        <v>97</v>
      </c>
    </row>
    <row r="12" spans="1:12" ht="27.75" customHeight="1" x14ac:dyDescent="0.3">
      <c r="A12" s="6" t="s">
        <v>102</v>
      </c>
      <c r="B12" s="6" t="s">
        <v>50</v>
      </c>
      <c r="C12" s="6" t="s">
        <v>51</v>
      </c>
      <c r="D12" s="6" t="s">
        <v>103</v>
      </c>
      <c r="E12" s="6" t="s">
        <v>53</v>
      </c>
      <c r="F12" s="6">
        <v>72</v>
      </c>
      <c r="G12" s="6" t="s">
        <v>7</v>
      </c>
      <c r="H12" s="6" t="s">
        <v>104</v>
      </c>
      <c r="I12" s="6">
        <v>5</v>
      </c>
      <c r="J12" s="6">
        <v>5</v>
      </c>
      <c r="K12" s="7" t="s">
        <v>105</v>
      </c>
      <c r="L12" s="7" t="s">
        <v>106</v>
      </c>
    </row>
    <row r="13" spans="1:12" ht="27.75" customHeight="1" x14ac:dyDescent="0.3">
      <c r="A13" s="6" t="s">
        <v>107</v>
      </c>
      <c r="B13" s="6" t="s">
        <v>50</v>
      </c>
      <c r="C13" s="6" t="s">
        <v>51</v>
      </c>
      <c r="D13" s="6" t="s">
        <v>108</v>
      </c>
      <c r="E13" s="6" t="s">
        <v>53</v>
      </c>
      <c r="F13" s="6">
        <v>95</v>
      </c>
      <c r="G13" s="6" t="s">
        <v>7</v>
      </c>
      <c r="H13" s="6" t="s">
        <v>109</v>
      </c>
      <c r="I13" s="6">
        <v>5</v>
      </c>
      <c r="J13" s="6">
        <v>5</v>
      </c>
      <c r="K13" s="7" t="s">
        <v>110</v>
      </c>
      <c r="L13" s="7" t="s">
        <v>111</v>
      </c>
    </row>
  </sheetData>
  <autoFilter ref="A1:L13" xr:uid="{00000000-0009-0000-0000-000001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Analytics Dashboard</vt:lpstr>
      <vt:lpstr>Raw Valadition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KHIN ZUZUOO</cp:lastModifiedBy>
  <cp:revision>1</cp:revision>
  <dcterms:created xsi:type="dcterms:W3CDTF">2026-07-17T15:48:01Z</dcterms:created>
  <dcterms:modified xsi:type="dcterms:W3CDTF">2026-07-17T16:34:14Z</dcterms:modified>
  <dc:language>en-US</dc:language>
</cp:coreProperties>
</file>